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terials" sheetId="1" state="visible" r:id="rId3"/>
    <sheet name="Beams" sheetId="2" state="visible" r:id="rId4"/>
    <sheet name="Review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<sst xmlns="http://schemas.openxmlformats.org/spreadsheetml/2006/main" count="66" uniqueCount="46">
  <si>
    <t xml:space="preserve">Material Property Table</t>
  </si>
  <si>
    <t xml:space="preserve">material</t>
  </si>
  <si>
    <t xml:space="preserve">type</t>
  </si>
  <si>
    <t xml:space="preserve">strength_mpa</t>
  </si>
  <si>
    <t xml:space="preserve">strength_kind</t>
  </si>
  <si>
    <t xml:space="preserve">density_kg_m3</t>
  </si>
  <si>
    <t xml:space="preserve">cost_per_m3</t>
  </si>
  <si>
    <t xml:space="preserve">Steel A36</t>
  </si>
  <si>
    <t xml:space="preserve">steel</t>
  </si>
  <si>
    <t xml:space="preserve">yield</t>
  </si>
  <si>
    <t xml:space="preserve">Steel S355</t>
  </si>
  <si>
    <t xml:space="preserve">Steel S460</t>
  </si>
  <si>
    <t xml:space="preserve">Concrete C25/30</t>
  </si>
  <si>
    <t xml:space="preserve">concrete</t>
  </si>
  <si>
    <t xml:space="preserve">compressive</t>
  </si>
  <si>
    <t xml:space="preserve">Concrete C40/50</t>
  </si>
  <si>
    <t xml:space="preserve">Concrete C60/75</t>
  </si>
  <si>
    <t xml:space="preserve">Steel uses yield strength; concrete uses compressive strength (characteristic).</t>
  </si>
  <si>
    <t xml:space="preserve">Beam Load Model</t>
  </si>
  <si>
    <t xml:space="preserve">beam_id</t>
  </si>
  <si>
    <t xml:space="preserve">section_factor_kn</t>
  </si>
  <si>
    <t xml:space="preserve">applied_load_kn</t>
  </si>
  <si>
    <t xml:space="preserve">span_m</t>
  </si>
  <si>
    <t xml:space="preserve">capacity_kn</t>
  </si>
  <si>
    <t xml:space="preserve">utilization</t>
  </si>
  <si>
    <t xml:space="preserve">B-001</t>
  </si>
  <si>
    <t xml:space="preserve">B-002</t>
  </si>
  <si>
    <t xml:space="preserve">B-003</t>
  </si>
  <si>
    <t xml:space="preserve">B-004</t>
  </si>
  <si>
    <t xml:space="preserve">B-005</t>
  </si>
  <si>
    <t xml:space="preserve">B-006</t>
  </si>
  <si>
    <t xml:space="preserve">B-007</t>
  </si>
  <si>
    <t xml:space="preserve">B-008</t>
  </si>
  <si>
    <t xml:space="preserve">B-009</t>
  </si>
  <si>
    <t xml:space="preserve">B-010</t>
  </si>
  <si>
    <t xml:space="preserve">capacity_kn = strength_mpa × section_factor_kn ÷ 1000 (XLOOKUP supplies strength); utilization = applied_load ÷ capacity; red = over 100% of allowable.</t>
  </si>
  <si>
    <t xml:space="preserve">Review — Cross-Checks</t>
  </si>
  <si>
    <t xml:space="preserve">Check</t>
  </si>
  <si>
    <t xml:space="preserve">Expected</t>
  </si>
  <si>
    <t xml:space="preserve">Actual</t>
  </si>
  <si>
    <t xml:space="preserve">Status</t>
  </si>
  <si>
    <t xml:space="preserve">Materials sheet row count</t>
  </si>
  <si>
    <t xml:space="preserve">Beams sheet row count</t>
  </si>
  <si>
    <t xml:space="preserve">Spot-check B-001 capacity (kN) from XLOOKUP chain</t>
  </si>
  <si>
    <t xml:space="preserve">Highest utilization in the model</t>
  </si>
  <si>
    <t xml:space="preserve">Expected values are computed independently in Python (build_stress_model.py); Actual re-evaluates the workbook formulas live.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</si>
</sst>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$#,##0"/>
    <numFmt numFmtId="167" formatCode="#,##0.0"/>
    <numFmt numFmtId="168" formatCode="0.0%"/>
    <numFmt numFmtId="169" formatCode="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1B2A4A"/>
      <name val="Noto Sans SC"/>
      <family val="0"/>
      <charset val="1"/>
    </font>
    <font>
      <sz val="11"/>
      <color rgb="FFFFFFFF"/>
      <name val="Noto Sans SC"/>
      <family val="0"/>
      <charset val="1"/>
    </font>
    <font>
      <sz val="11"/>
      <color rgb="FF37352F"/>
      <name val="Noto Sans SC"/>
      <family val="0"/>
      <charset val="1"/>
    </font>
    <font>
      <sz val="9"/>
      <color rgb="FF8C8A84"/>
      <name val="Noto Sans S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6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6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8" fontId="6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8" fontId="6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0392B"/>
      </font>
      <fill>
        <patternFill>
          <bgColor rgb="FFFDED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C8A84"/>
      <rgbColor rgb="FF9999FF"/>
      <rgbColor rgb="FF993366"/>
      <rgbColor rgb="FFF7F7F5"/>
      <rgbColor rgb="FFE9E9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DEC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C0392B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7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7" min="6" style="0" width="8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7.5" hidden="false" customHeight="true" outlineLevel="0" collapsed="false"/>
    <row r="4" customFormat="false" ht="37.5" hidden="false" customHeight="true" outlineLevel="0" collapsed="false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21.75" hidden="false" customHeight="true" outlineLevel="0" collapsed="false">
      <c r="B5" s="3" t="s">
        <v>7</v>
      </c>
      <c r="C5" s="3" t="s">
        <v>8</v>
      </c>
      <c r="D5" s="4" t="n">
        <v>250</v>
      </c>
      <c r="E5" s="4" t="s">
        <v>9</v>
      </c>
      <c r="F5" s="5" t="n">
        <v>7850</v>
      </c>
      <c r="G5" s="6" t="n">
        <v>1250</v>
      </c>
    </row>
    <row r="6" customFormat="false" ht="21.75" hidden="false" customHeight="true" outlineLevel="0" collapsed="false">
      <c r="B6" s="7" t="s">
        <v>10</v>
      </c>
      <c r="C6" s="7" t="s">
        <v>8</v>
      </c>
      <c r="D6" s="8" t="n">
        <v>355</v>
      </c>
      <c r="E6" s="8" t="s">
        <v>9</v>
      </c>
      <c r="F6" s="9" t="n">
        <v>7850</v>
      </c>
      <c r="G6" s="10" t="n">
        <v>1420</v>
      </c>
    </row>
    <row r="7" customFormat="false" ht="21.75" hidden="false" customHeight="true" outlineLevel="0" collapsed="false">
      <c r="B7" s="3" t="s">
        <v>11</v>
      </c>
      <c r="C7" s="3" t="s">
        <v>8</v>
      </c>
      <c r="D7" s="4" t="n">
        <v>460</v>
      </c>
      <c r="E7" s="4" t="s">
        <v>9</v>
      </c>
      <c r="F7" s="5" t="n">
        <v>7850</v>
      </c>
      <c r="G7" s="6" t="n">
        <v>1680</v>
      </c>
    </row>
    <row r="8" customFormat="false" ht="21.75" hidden="false" customHeight="true" outlineLevel="0" collapsed="false">
      <c r="B8" s="7" t="s">
        <v>12</v>
      </c>
      <c r="C8" s="7" t="s">
        <v>13</v>
      </c>
      <c r="D8" s="8" t="n">
        <v>25</v>
      </c>
      <c r="E8" s="8" t="s">
        <v>14</v>
      </c>
      <c r="F8" s="9" t="n">
        <v>2400</v>
      </c>
      <c r="G8" s="10" t="n">
        <v>180</v>
      </c>
    </row>
    <row r="9" customFormat="false" ht="21.75" hidden="false" customHeight="true" outlineLevel="0" collapsed="false">
      <c r="B9" s="3" t="s">
        <v>15</v>
      </c>
      <c r="C9" s="3" t="s">
        <v>13</v>
      </c>
      <c r="D9" s="4" t="n">
        <v>40</v>
      </c>
      <c r="E9" s="4" t="s">
        <v>14</v>
      </c>
      <c r="F9" s="5" t="n">
        <v>2400</v>
      </c>
      <c r="G9" s="6" t="n">
        <v>240</v>
      </c>
    </row>
    <row r="10" customFormat="false" ht="21.75" hidden="false" customHeight="true" outlineLevel="0" collapsed="false">
      <c r="B10" s="7" t="s">
        <v>16</v>
      </c>
      <c r="C10" s="7" t="s">
        <v>13</v>
      </c>
      <c r="D10" s="8" t="n">
        <v>60</v>
      </c>
      <c r="E10" s="8" t="s">
        <v>14</v>
      </c>
      <c r="F10" s="9" t="n">
        <v>2400</v>
      </c>
      <c r="G10" s="10" t="n">
        <v>310</v>
      </c>
    </row>
    <row r="12" customFormat="false" ht="15" hidden="false" customHeight="false" outlineLevel="0" collapsed="false">
      <c r="B12" s="11" t="s">
        <v>17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7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28"/>
    <col collapsed="false" customWidth="true" hidden="false" outlineLevel="0" max="8" min="8" style="0" width="26"/>
    <col collapsed="false" customWidth="true" hidden="false" outlineLevel="0" max="9" min="9" style="0" width="23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18</v>
      </c>
      <c r="C2" s="1"/>
      <c r="D2" s="1"/>
      <c r="E2" s="1"/>
      <c r="F2" s="1"/>
      <c r="G2" s="1"/>
      <c r="H2" s="1"/>
      <c r="I2" s="1"/>
    </row>
    <row r="3" customFormat="false" ht="7.5" hidden="false" customHeight="true" outlineLevel="0" collapsed="false"/>
    <row r="4" customFormat="false" ht="37.5" hidden="false" customHeight="true" outlineLevel="0" collapsed="false">
      <c r="B4" s="2" t="s">
        <v>19</v>
      </c>
      <c r="C4" s="2" t="s">
        <v>1</v>
      </c>
      <c r="D4" s="2" t="s">
        <v>20</v>
      </c>
      <c r="E4" s="2" t="s">
        <v>21</v>
      </c>
      <c r="F4" s="2" t="s">
        <v>22</v>
      </c>
      <c r="G4" s="2" t="s">
        <v>3</v>
      </c>
      <c r="H4" s="2" t="s">
        <v>23</v>
      </c>
      <c r="I4" s="2" t="s">
        <v>24</v>
      </c>
    </row>
    <row r="5" customFormat="false" ht="54" hidden="false" customHeight="true" outlineLevel="0" collapsed="false">
      <c r="B5" s="12" t="s">
        <v>25</v>
      </c>
      <c r="C5" s="3" t="s">
        <v>10</v>
      </c>
      <c r="D5" s="4" t="n">
        <v>60</v>
      </c>
      <c r="E5" s="13" t="n">
        <v>17.3</v>
      </c>
      <c r="F5" s="4" t="n">
        <v>8</v>
      </c>
      <c r="G5" s="5" t="n">
        <f aca="false">_xlfn.XLOOKUP($C5,Materials!$B$5:$B$10,Materials!$D$5:$D$10,"not found")</f>
        <v>355</v>
      </c>
      <c r="H5" s="13" t="n">
        <f aca="false">ROUND($G5*$D5/1000,1)</f>
        <v>21.3</v>
      </c>
      <c r="I5" s="14" t="n">
        <f aca="false">IFERROR($E5/$H5,0)</f>
        <v>0.812206572769953</v>
      </c>
    </row>
    <row r="6" customFormat="false" ht="54" hidden="false" customHeight="true" outlineLevel="0" collapsed="false">
      <c r="B6" s="15" t="s">
        <v>26</v>
      </c>
      <c r="C6" s="7" t="s">
        <v>12</v>
      </c>
      <c r="D6" s="8" t="n">
        <v>40</v>
      </c>
      <c r="E6" s="16" t="n">
        <v>1</v>
      </c>
      <c r="F6" s="8" t="n">
        <v>6</v>
      </c>
      <c r="G6" s="9" t="n">
        <f aca="false">_xlfn.XLOOKUP($C6,Materials!$B$5:$B$10,Materials!$D$5:$D$10,"not found")</f>
        <v>25</v>
      </c>
      <c r="H6" s="16" t="n">
        <f aca="false">ROUND($G6*$D6/1000,1)</f>
        <v>1</v>
      </c>
      <c r="I6" s="17" t="n">
        <f aca="false">IFERROR($E6/$H6,0)</f>
        <v>1</v>
      </c>
    </row>
    <row r="7" customFormat="false" ht="54" hidden="false" customHeight="true" outlineLevel="0" collapsed="false">
      <c r="B7" s="12" t="s">
        <v>27</v>
      </c>
      <c r="C7" s="3" t="s">
        <v>11</v>
      </c>
      <c r="D7" s="4" t="n">
        <v>60</v>
      </c>
      <c r="E7" s="13" t="n">
        <v>18.3</v>
      </c>
      <c r="F7" s="4" t="n">
        <v>8</v>
      </c>
      <c r="G7" s="5" t="n">
        <f aca="false">_xlfn.XLOOKUP($C7,Materials!$B$5:$B$10,Materials!$D$5:$D$10,"not found")</f>
        <v>460</v>
      </c>
      <c r="H7" s="13" t="n">
        <f aca="false">ROUND($G7*$D7/1000,1)</f>
        <v>27.6</v>
      </c>
      <c r="I7" s="14" t="n">
        <f aca="false">IFERROR($E7/$H7,0)</f>
        <v>0.66304347826087</v>
      </c>
    </row>
    <row r="8" customFormat="false" ht="54" hidden="false" customHeight="true" outlineLevel="0" collapsed="false">
      <c r="B8" s="15" t="s">
        <v>28</v>
      </c>
      <c r="C8" s="7" t="s">
        <v>12</v>
      </c>
      <c r="D8" s="8" t="n">
        <v>100</v>
      </c>
      <c r="E8" s="16" t="n">
        <v>2.1</v>
      </c>
      <c r="F8" s="8" t="n">
        <v>4</v>
      </c>
      <c r="G8" s="9" t="n">
        <f aca="false">_xlfn.XLOOKUP($C8,Materials!$B$5:$B$10,Materials!$D$5:$D$10,"not found")</f>
        <v>25</v>
      </c>
      <c r="H8" s="16" t="n">
        <f aca="false">ROUND($G8*$D8/1000,1)</f>
        <v>2.5</v>
      </c>
      <c r="I8" s="17" t="n">
        <f aca="false">IFERROR($E8/$H8,0)</f>
        <v>0.84</v>
      </c>
    </row>
    <row r="9" customFormat="false" ht="54" hidden="false" customHeight="true" outlineLevel="0" collapsed="false">
      <c r="B9" s="12" t="s">
        <v>29</v>
      </c>
      <c r="C9" s="3" t="s">
        <v>10</v>
      </c>
      <c r="D9" s="4" t="n">
        <v>60</v>
      </c>
      <c r="E9" s="13" t="n">
        <v>26.4</v>
      </c>
      <c r="F9" s="4" t="n">
        <v>8</v>
      </c>
      <c r="G9" s="5" t="n">
        <f aca="false">_xlfn.XLOOKUP($C9,Materials!$B$5:$B$10,Materials!$D$5:$D$10,"not found")</f>
        <v>355</v>
      </c>
      <c r="H9" s="13" t="n">
        <f aca="false">ROUND($G9*$D9/1000,1)</f>
        <v>21.3</v>
      </c>
      <c r="I9" s="14" t="n">
        <f aca="false">IFERROR($E9/$H9,0)</f>
        <v>1.23943661971831</v>
      </c>
    </row>
    <row r="10" customFormat="false" ht="54" hidden="false" customHeight="true" outlineLevel="0" collapsed="false">
      <c r="B10" s="15" t="s">
        <v>30</v>
      </c>
      <c r="C10" s="7" t="s">
        <v>12</v>
      </c>
      <c r="D10" s="8" t="n">
        <v>40</v>
      </c>
      <c r="E10" s="16" t="n">
        <v>1.1</v>
      </c>
      <c r="F10" s="8" t="n">
        <v>4</v>
      </c>
      <c r="G10" s="9" t="n">
        <f aca="false">_xlfn.XLOOKUP($C10,Materials!$B$5:$B$10,Materials!$D$5:$D$10,"not found")</f>
        <v>25</v>
      </c>
      <c r="H10" s="16" t="n">
        <f aca="false">ROUND($G10*$D10/1000,1)</f>
        <v>1</v>
      </c>
      <c r="I10" s="17" t="n">
        <f aca="false">IFERROR($E10/$H10,0)</f>
        <v>1.1</v>
      </c>
    </row>
    <row r="11" customFormat="false" ht="54" hidden="false" customHeight="true" outlineLevel="0" collapsed="false">
      <c r="B11" s="12" t="s">
        <v>31</v>
      </c>
      <c r="C11" s="3" t="s">
        <v>10</v>
      </c>
      <c r="D11" s="4" t="n">
        <v>40</v>
      </c>
      <c r="E11" s="13" t="n">
        <v>10.7</v>
      </c>
      <c r="F11" s="4" t="n">
        <v>4</v>
      </c>
      <c r="G11" s="5" t="n">
        <f aca="false">_xlfn.XLOOKUP($C11,Materials!$B$5:$B$10,Materials!$D$5:$D$10,"not found")</f>
        <v>355</v>
      </c>
      <c r="H11" s="13" t="n">
        <f aca="false">ROUND($G11*$D11/1000,1)</f>
        <v>14.2</v>
      </c>
      <c r="I11" s="14" t="n">
        <f aca="false">IFERROR($E11/$H11,0)</f>
        <v>0.753521126760563</v>
      </c>
    </row>
    <row r="12" customFormat="false" ht="54" hidden="false" customHeight="true" outlineLevel="0" collapsed="false">
      <c r="B12" s="15" t="s">
        <v>32</v>
      </c>
      <c r="C12" s="7" t="s">
        <v>11</v>
      </c>
      <c r="D12" s="8" t="n">
        <v>100</v>
      </c>
      <c r="E12" s="16" t="n">
        <v>46.3</v>
      </c>
      <c r="F12" s="8" t="n">
        <v>6</v>
      </c>
      <c r="G12" s="9" t="n">
        <f aca="false">_xlfn.XLOOKUP($C12,Materials!$B$5:$B$10,Materials!$D$5:$D$10,"not found")</f>
        <v>460</v>
      </c>
      <c r="H12" s="16" t="n">
        <f aca="false">ROUND($G12*$D12/1000,1)</f>
        <v>46</v>
      </c>
      <c r="I12" s="17" t="n">
        <f aca="false">IFERROR($E12/$H12,0)</f>
        <v>1.00652173913043</v>
      </c>
    </row>
    <row r="13" customFormat="false" ht="54" hidden="false" customHeight="true" outlineLevel="0" collapsed="false">
      <c r="B13" s="12" t="s">
        <v>33</v>
      </c>
      <c r="C13" s="3" t="s">
        <v>16</v>
      </c>
      <c r="D13" s="4" t="n">
        <v>100</v>
      </c>
      <c r="E13" s="13" t="n">
        <v>5</v>
      </c>
      <c r="F13" s="4" t="n">
        <v>8</v>
      </c>
      <c r="G13" s="5" t="n">
        <f aca="false">_xlfn.XLOOKUP($C13,Materials!$B$5:$B$10,Materials!$D$5:$D$10,"not found")</f>
        <v>60</v>
      </c>
      <c r="H13" s="13" t="n">
        <f aca="false">ROUND($G13*$D13/1000,1)</f>
        <v>6</v>
      </c>
      <c r="I13" s="14" t="n">
        <f aca="false">IFERROR($E13/$H13,0)</f>
        <v>0.833333333333333</v>
      </c>
    </row>
    <row r="14" customFormat="false" ht="54" hidden="false" customHeight="true" outlineLevel="0" collapsed="false">
      <c r="B14" s="15" t="s">
        <v>34</v>
      </c>
      <c r="C14" s="7" t="s">
        <v>12</v>
      </c>
      <c r="D14" s="8" t="n">
        <v>60</v>
      </c>
      <c r="E14" s="16" t="n">
        <v>1.9</v>
      </c>
      <c r="F14" s="8" t="n">
        <v>4</v>
      </c>
      <c r="G14" s="9" t="n">
        <f aca="false">_xlfn.XLOOKUP($C14,Materials!$B$5:$B$10,Materials!$D$5:$D$10,"not found")</f>
        <v>25</v>
      </c>
      <c r="H14" s="16" t="n">
        <f aca="false">ROUND($G14*$D14/1000,1)</f>
        <v>1.5</v>
      </c>
      <c r="I14" s="17" t="n">
        <f aca="false">IFERROR($E14/$H14,0)</f>
        <v>1.26666666666667</v>
      </c>
    </row>
    <row r="16" customFormat="false" ht="15" hidden="false" customHeight="false" outlineLevel="0" collapsed="false">
      <c r="B16" s="11" t="s">
        <v>35</v>
      </c>
    </row>
  </sheetData>
  <mergeCells count="1">
    <mergeCell ref="B2:I2"/>
  </mergeCells>
  <conditionalFormatting sqref="I5:I14">
    <cfRule type="cellIs" priority="2" operator="greaterThan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33"/>
    <col collapsed="false" customWidth="true" hidden="false" outlineLevel="0" max="5" min="5" style="0" width="28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36</v>
      </c>
      <c r="C2" s="1"/>
      <c r="D2" s="1"/>
      <c r="E2" s="1"/>
    </row>
    <row r="3" customFormat="false" ht="7.5" hidden="false" customHeight="true" outlineLevel="0" collapsed="false"/>
    <row r="4" customFormat="false" ht="37.5" hidden="false" customHeight="true" outlineLevel="0" collapsed="false">
      <c r="B4" s="2" t="s">
        <v>37</v>
      </c>
      <c r="C4" s="2" t="s">
        <v>38</v>
      </c>
      <c r="D4" s="2" t="s">
        <v>39</v>
      </c>
      <c r="E4" s="2" t="s">
        <v>40</v>
      </c>
    </row>
    <row r="5" customFormat="false" ht="21.75" hidden="false" customHeight="true" outlineLevel="0" collapsed="false">
      <c r="B5" s="3" t="s">
        <v>41</v>
      </c>
      <c r="C5" s="5" t="n">
        <v>6</v>
      </c>
      <c r="D5" s="5" t="n">
        <f aca="false">COUNTA(Materials!$B$5:$B$10)</f>
        <v>6</v>
      </c>
      <c r="E5" s="18" t="str">
        <f aca="false">IF($C5=$D5,"PASS","FAIL")</f>
        <v>PASS</v>
      </c>
    </row>
    <row r="6" customFormat="false" ht="21.75" hidden="false" customHeight="true" outlineLevel="0" collapsed="false">
      <c r="B6" s="7" t="s">
        <v>42</v>
      </c>
      <c r="C6" s="9" t="n">
        <v>10</v>
      </c>
      <c r="D6" s="9" t="n">
        <f aca="false">COUNTA(Beams!$B$5:$B$14)</f>
        <v>10</v>
      </c>
      <c r="E6" s="19" t="str">
        <f aca="false">IF($C6=$D6,"PASS","FAIL")</f>
        <v>PASS</v>
      </c>
    </row>
    <row r="7" customFormat="false" ht="37.5" hidden="false" customHeight="true" outlineLevel="0" collapsed="false">
      <c r="B7" s="3" t="s">
        <v>43</v>
      </c>
      <c r="C7" s="13" t="n">
        <v>21.3</v>
      </c>
      <c r="D7" s="13" t="n">
        <f aca="false">Beams!$H$5</f>
        <v>21.3</v>
      </c>
      <c r="E7" s="18" t="str">
        <f aca="false">IF($C7=$D7,"PASS","FAIL")</f>
        <v>PASS</v>
      </c>
    </row>
    <row r="8" customFormat="false" ht="37.5" hidden="false" customHeight="true" outlineLevel="0" collapsed="false">
      <c r="B8" s="7" t="s">
        <v>44</v>
      </c>
      <c r="C8" s="20" t="n">
        <v>1.267</v>
      </c>
      <c r="D8" s="20" t="n">
        <f aca="false">ROUND(MAX(Beams!$I$5:$I$14),3)</f>
        <v>1.267</v>
      </c>
      <c r="E8" s="19" t="str">
        <f aca="false">IF($C8=$D8,"PASS","FAIL")</f>
        <v>PASS</v>
      </c>
    </row>
    <row r="10" customFormat="false" ht="15" hidden="false" customHeight="false" outlineLevel="0" collapsed="false">
      <c r="B10" s="11" t="s">
        <v>45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2026-10-01T07:27:34Z</dcterms:created>
  <dc:creator>Z.ai</dc:creator>
  <dc:description/>
  <dc:language>en-US</dc:language>
  <cp:lastModifiedBy/>
  <dcterms:modified xsi:type="dcterms:W3CDTF">2026-10-01T07:27:34Z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